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\Downloads\EXCEL\"/>
    </mc:Choice>
  </mc:AlternateContent>
  <xr:revisionPtr revIDLastSave="0" documentId="8_{E44CCE53-A26A-408E-971E-D670E40FB35F}" xr6:coauthVersionLast="47" xr6:coauthVersionMax="47" xr10:uidLastSave="{00000000-0000-0000-0000-000000000000}"/>
  <bookViews>
    <workbookView xWindow="-108" yWindow="-108" windowWidth="23256" windowHeight="12456" xr2:uid="{E56A8DC6-2144-4995-8F8D-F499F481E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" i="1" l="1"/>
  <c r="K48" i="1"/>
  <c r="K45" i="1"/>
  <c r="K44" i="1"/>
  <c r="K41" i="1"/>
  <c r="K40" i="1"/>
  <c r="K37" i="1"/>
  <c r="K36" i="1"/>
  <c r="K35" i="1"/>
  <c r="I32" i="1"/>
  <c r="I31" i="1"/>
  <c r="I30" i="1"/>
  <c r="I27" i="1"/>
  <c r="I26" i="1"/>
  <c r="I25" i="1"/>
  <c r="I22" i="1"/>
  <c r="I21" i="1"/>
  <c r="I19" i="1"/>
  <c r="I20" i="1"/>
  <c r="I18" i="1"/>
</calcChain>
</file>

<file path=xl/sharedStrings.xml><?xml version="1.0" encoding="utf-8"?>
<sst xmlns="http://schemas.openxmlformats.org/spreadsheetml/2006/main" count="64" uniqueCount="58">
  <si>
    <t>Employee ID</t>
  </si>
  <si>
    <t>Name</t>
  </si>
  <si>
    <t>Department</t>
  </si>
  <si>
    <t>Salary</t>
  </si>
  <si>
    <t>Attendance %</t>
  </si>
  <si>
    <t>Performance Score</t>
  </si>
  <si>
    <t>E101</t>
  </si>
  <si>
    <t>Rahul</t>
  </si>
  <si>
    <t>IT</t>
  </si>
  <si>
    <t>E102</t>
  </si>
  <si>
    <t>Priya</t>
  </si>
  <si>
    <t>HR</t>
  </si>
  <si>
    <t>E103</t>
  </si>
  <si>
    <t>Anil</t>
  </si>
  <si>
    <t>E104</t>
  </si>
  <si>
    <t>Sneha</t>
  </si>
  <si>
    <t>Sales</t>
  </si>
  <si>
    <t>E105</t>
  </si>
  <si>
    <t>Kiran</t>
  </si>
  <si>
    <t>Finance</t>
  </si>
  <si>
    <t>E106</t>
  </si>
  <si>
    <t>Divya</t>
  </si>
  <si>
    <t>E107</t>
  </si>
  <si>
    <t>Arjun</t>
  </si>
  <si>
    <t>E108</t>
  </si>
  <si>
    <t>Meena</t>
  </si>
  <si>
    <t>E109</t>
  </si>
  <si>
    <t>Ravi</t>
  </si>
  <si>
    <t>E110</t>
  </si>
  <si>
    <t>Swathi</t>
  </si>
  <si>
    <t>EXCEL LOGICAL FUNCTIONS - PRACTICE QUESTIONS</t>
  </si>
  <si>
    <t>IF FUNCTION</t>
  </si>
  <si>
    <t>1. If salary is greater than 30000, display High Salary, otherwise Low Salary.</t>
  </si>
  <si>
    <t>2. If performance score is greater than or equal to 70, display Pass, otherwise Fail.</t>
  </si>
  <si>
    <t>3. If attendance is greater than or equal to 75, display Eligible, otherwise Not Eligible.</t>
  </si>
  <si>
    <t>4. If department is IT, display Technical, otherwise Non-Technical.</t>
  </si>
  <si>
    <t>5. If salary is greater than or equal to 40000, display Bonus Eligible, otherwise No Bonus.</t>
  </si>
  <si>
    <t>AND FUNCTION</t>
  </si>
  <si>
    <t>6. Check whether attendance is above 85 AND performance score is above 75.</t>
  </si>
  <si>
    <t>7. Check whether salary is above 30000 AND attendance is above 80.</t>
  </si>
  <si>
    <t>8. Check whether department is IT AND performance score is above 80.</t>
  </si>
  <si>
    <t>OR FUNCTION</t>
  </si>
  <si>
    <t>9. Check whether salary is above 45000 OR performance score is above 90.</t>
  </si>
  <si>
    <t>10. Check whether attendance is below 60 OR performance score is below 50.</t>
  </si>
  <si>
    <t>11. Check whether department is HR OR Finance.</t>
  </si>
  <si>
    <t>IF WITH AND</t>
  </si>
  <si>
    <t>12. If attendance is above 85 AND performance is above 75, display Selected, otherwise Rejected.</t>
  </si>
  <si>
    <t>13. If salary is above 35000 AND attendance is above 80, display Eligible for Incentive, otherwise Not Eligible.</t>
  </si>
  <si>
    <t>14. If performance is above 80 AND department is IT, display Best Performer, otherwise Normal Performer.</t>
  </si>
  <si>
    <t>IF WITH OR</t>
  </si>
  <si>
    <t>15. If salary is above 45000 OR performance is above 90, display Reward, otherwise No Reward.</t>
  </si>
  <si>
    <t>16. If attendance is below 65 OR performance is below 50, display Warning, otherwise Good.</t>
  </si>
  <si>
    <t>NOT FUNCTION</t>
  </si>
  <si>
    <t>17. If department is NOT IT, display Other Department, otherwise IT Department.</t>
  </si>
  <si>
    <t>18. Check whether performance score is NOT less than 70.</t>
  </si>
  <si>
    <t>NESTED IF / IFS</t>
  </si>
  <si>
    <t>19. Give grades: Score &gt;= 90: A, &gt;= 80: B, &gt;= 70: C, &gt;= 60: D, otherwise F.</t>
  </si>
  <si>
    <t>20. Give salary category: Salary &gt;= 45000: High, &gt;= 30000: Medium, otherwise 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</si>
</sst>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4B259D-A5B6-4D05-BB7B-5CA9435A08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CD1CA-DF10-4160-85BF-81821122EA1A}" name="Table1" displayName="Table1" ref="A1:F11" totalsRowShown="0">
  <autoFilter ref="A1:F11" xr:uid="{C01CD1CA-DF10-4160-85BF-81821122EA1A}"/>
  <tableColumns count="6">
    <tableColumn id="1" xr3:uid="{224EE645-CC43-4C8A-AD67-F171D449F310}" name="Employee ID"/>
    <tableColumn id="2" xr3:uid="{0F5A408D-F869-48CC-A246-009699E08653}" name="Name"/>
    <tableColumn id="3" xr3:uid="{4379024A-3D20-4ACA-92CE-2CF833189673}" name="Department"/>
    <tableColumn id="4" xr3:uid="{EEBE657A-82FA-4A8E-A836-973D879CE6E2}" name="Salary"/>
    <tableColumn id="5" xr3:uid="{74C27616-10A2-4A76-AA85-9089AA2D8A05}" name="Attendance %"/>
    <tableColumn id="6" xr3:uid="{FEB9A064-AB7C-4855-BEDD-2F00C45C845A}" name="Performance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8555-73BE-43D3-9162-E551E045CDAD}">
  <dimension ref="A1:K49"/>
  <sheetViews>
    <sheetView tabSelected="1" topLeftCell="A4" workbookViewId="0">
      <selection activeCell="G16" sqref="G16"/>
    </sheetView>
  </sheetViews>
  <sheetFormatPr defaultRowHeight="14.4" x14ac:dyDescent="0.3"/>
  <cols>
    <col min="1" max="1" width="13.44140625" customWidth="1"/>
    <col min="3" max="3" width="13" customWidth="1"/>
    <col min="5" max="5" width="14.5546875" customWidth="1"/>
    <col min="6" max="6" width="1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35000</v>
      </c>
      <c r="E2">
        <v>95</v>
      </c>
      <c r="F2">
        <v>85</v>
      </c>
    </row>
    <row r="3" spans="1:6" x14ac:dyDescent="0.3">
      <c r="A3" t="s">
        <v>9</v>
      </c>
      <c r="B3" t="s">
        <v>10</v>
      </c>
      <c r="C3" t="s">
        <v>11</v>
      </c>
      <c r="D3">
        <v>28000</v>
      </c>
      <c r="E3">
        <v>80</v>
      </c>
      <c r="F3">
        <v>65</v>
      </c>
    </row>
    <row r="4" spans="1:6" x14ac:dyDescent="0.3">
      <c r="A4" t="s">
        <v>12</v>
      </c>
      <c r="B4" t="s">
        <v>13</v>
      </c>
      <c r="C4" t="s">
        <v>8</v>
      </c>
      <c r="D4">
        <v>45000</v>
      </c>
      <c r="E4">
        <v>92</v>
      </c>
      <c r="F4">
        <v>90</v>
      </c>
    </row>
    <row r="5" spans="1:6" x14ac:dyDescent="0.3">
      <c r="A5" t="s">
        <v>14</v>
      </c>
      <c r="B5" t="s">
        <v>15</v>
      </c>
      <c r="C5" t="s">
        <v>16</v>
      </c>
      <c r="D5">
        <v>25000</v>
      </c>
      <c r="E5">
        <v>70</v>
      </c>
      <c r="F5">
        <v>55</v>
      </c>
    </row>
    <row r="6" spans="1:6" x14ac:dyDescent="0.3">
      <c r="A6" t="s">
        <v>17</v>
      </c>
      <c r="B6" t="s">
        <v>18</v>
      </c>
      <c r="C6" t="s">
        <v>19</v>
      </c>
      <c r="D6">
        <v>40000</v>
      </c>
      <c r="E6">
        <v>88</v>
      </c>
      <c r="F6">
        <v>78</v>
      </c>
    </row>
    <row r="7" spans="1:6" x14ac:dyDescent="0.3">
      <c r="A7" t="s">
        <v>20</v>
      </c>
      <c r="B7" t="s">
        <v>21</v>
      </c>
      <c r="C7" t="s">
        <v>8</v>
      </c>
      <c r="D7">
        <v>30000</v>
      </c>
      <c r="E7">
        <v>60</v>
      </c>
      <c r="F7">
        <v>45</v>
      </c>
    </row>
    <row r="8" spans="1:6" x14ac:dyDescent="0.3">
      <c r="A8" t="s">
        <v>22</v>
      </c>
      <c r="B8" t="s">
        <v>23</v>
      </c>
      <c r="C8" t="s">
        <v>16</v>
      </c>
      <c r="D8">
        <v>32000</v>
      </c>
      <c r="E8">
        <v>85</v>
      </c>
      <c r="F8">
        <v>72</v>
      </c>
    </row>
    <row r="9" spans="1:6" x14ac:dyDescent="0.3">
      <c r="A9" t="s">
        <v>24</v>
      </c>
      <c r="B9" t="s">
        <v>25</v>
      </c>
      <c r="C9" t="s">
        <v>11</v>
      </c>
      <c r="D9">
        <v>27000</v>
      </c>
      <c r="E9">
        <v>96</v>
      </c>
      <c r="F9">
        <v>95</v>
      </c>
    </row>
    <row r="10" spans="1:6" x14ac:dyDescent="0.3">
      <c r="A10" t="s">
        <v>26</v>
      </c>
      <c r="B10" t="s">
        <v>27</v>
      </c>
      <c r="C10" t="s">
        <v>19</v>
      </c>
      <c r="D10">
        <v>50000</v>
      </c>
      <c r="E10">
        <v>75</v>
      </c>
      <c r="F10">
        <v>60</v>
      </c>
    </row>
    <row r="11" spans="1:6" x14ac:dyDescent="0.3">
      <c r="A11" t="s">
        <v>28</v>
      </c>
      <c r="B11" t="s">
        <v>29</v>
      </c>
      <c r="C11" t="s">
        <v>8</v>
      </c>
      <c r="D11">
        <v>38000</v>
      </c>
      <c r="E11">
        <v>90</v>
      </c>
      <c r="F11">
        <v>82</v>
      </c>
    </row>
    <row r="15" spans="1:6" x14ac:dyDescent="0.3">
      <c r="A15" t="s">
        <v>30</v>
      </c>
    </row>
    <row r="17" spans="1:9" x14ac:dyDescent="0.3">
      <c r="A17" t="s">
        <v>31</v>
      </c>
    </row>
    <row r="18" spans="1:9" x14ac:dyDescent="0.3">
      <c r="A18" t="s">
        <v>32</v>
      </c>
      <c r="I18" t="str">
        <f>IF(D2&gt;30000,"high salary","low salary")</f>
        <v>high salary</v>
      </c>
    </row>
    <row r="19" spans="1:9" x14ac:dyDescent="0.3">
      <c r="A19" t="s">
        <v>33</v>
      </c>
      <c r="I19" t="str">
        <f>IF(F2&gt;70,"pass","fail")</f>
        <v>pass</v>
      </c>
    </row>
    <row r="20" spans="1:9" x14ac:dyDescent="0.3">
      <c r="A20" t="s">
        <v>34</v>
      </c>
      <c r="I20" t="str">
        <f>IF(E2&gt;=75,"eligible","not")</f>
        <v>eligible</v>
      </c>
    </row>
    <row r="21" spans="1:9" x14ac:dyDescent="0.3">
      <c r="A21" t="s">
        <v>35</v>
      </c>
      <c r="I21" t="str">
        <f>IF(C2="IT","tech","non-tech")</f>
        <v>tech</v>
      </c>
    </row>
    <row r="22" spans="1:9" x14ac:dyDescent="0.3">
      <c r="A22" t="s">
        <v>36</v>
      </c>
      <c r="I22" t="str">
        <f>IF(D2&gt;=40000,"bonus eligible","not eligible")</f>
        <v>not eligible</v>
      </c>
    </row>
    <row r="24" spans="1:9" x14ac:dyDescent="0.3">
      <c r="A24" t="s">
        <v>37</v>
      </c>
    </row>
    <row r="25" spans="1:9" x14ac:dyDescent="0.3">
      <c r="A25" t="s">
        <v>38</v>
      </c>
      <c r="I25" t="b">
        <f>AND(E2&gt;85,F2&lt;75)</f>
        <v>0</v>
      </c>
    </row>
    <row r="26" spans="1:9" x14ac:dyDescent="0.3">
      <c r="A26" t="s">
        <v>39</v>
      </c>
      <c r="I26" t="b">
        <f>AND(D2&lt;30000,E2&gt;80)</f>
        <v>0</v>
      </c>
    </row>
    <row r="27" spans="1:9" x14ac:dyDescent="0.3">
      <c r="A27" t="s">
        <v>40</v>
      </c>
      <c r="I27" t="b">
        <f>AND(C2="IT",F2&gt;80)</f>
        <v>1</v>
      </c>
    </row>
    <row r="29" spans="1:9" x14ac:dyDescent="0.3">
      <c r="A29" t="s">
        <v>41</v>
      </c>
    </row>
    <row r="30" spans="1:9" x14ac:dyDescent="0.3">
      <c r="A30" t="s">
        <v>42</v>
      </c>
      <c r="I30" t="b">
        <f>I31=OR(D2&gt;45000,F2&gt;90)</f>
        <v>1</v>
      </c>
    </row>
    <row r="31" spans="1:9" x14ac:dyDescent="0.3">
      <c r="A31" t="s">
        <v>43</v>
      </c>
      <c r="I31" t="b">
        <f>OR(E2&lt;60,F2&lt;50)</f>
        <v>0</v>
      </c>
    </row>
    <row r="32" spans="1:9" x14ac:dyDescent="0.3">
      <c r="A32" t="s">
        <v>44</v>
      </c>
      <c r="I32" t="b">
        <f>OR(C2="HR",C2="Finance")</f>
        <v>0</v>
      </c>
    </row>
    <row r="34" spans="1:11" x14ac:dyDescent="0.3">
      <c r="A34" t="s">
        <v>45</v>
      </c>
    </row>
    <row r="35" spans="1:11" x14ac:dyDescent="0.3">
      <c r="A35" t="s">
        <v>46</v>
      </c>
      <c r="K35" t="str">
        <f>IF(AND(E2&gt;80,F2&gt;75),"Selected","Rejected")</f>
        <v>Selected</v>
      </c>
    </row>
    <row r="36" spans="1:11" x14ac:dyDescent="0.3">
      <c r="A36" t="s">
        <v>47</v>
      </c>
      <c r="K36" t="str">
        <f>IF(AND(D2&gt;35000,E2&gt;80),"Eligible for Incentives","not eligible")</f>
        <v>not eligible</v>
      </c>
    </row>
    <row r="37" spans="1:11" x14ac:dyDescent="0.3">
      <c r="A37" t="s">
        <v>48</v>
      </c>
      <c r="K37" t="str">
        <f>IF(AND(F2&gt;80,C2="IT"),"Best Performer","Normal Performer")</f>
        <v>Best Performer</v>
      </c>
    </row>
    <row r="39" spans="1:11" x14ac:dyDescent="0.3">
      <c r="A39" t="s">
        <v>49</v>
      </c>
    </row>
    <row r="40" spans="1:11" x14ac:dyDescent="0.3">
      <c r="A40" t="s">
        <v>50</v>
      </c>
      <c r="K40" t="str">
        <f>IF(OR(D2&gt;45000,F2&gt;90),"Reward","no reward")</f>
        <v>no reward</v>
      </c>
    </row>
    <row r="41" spans="1:11" x14ac:dyDescent="0.3">
      <c r="A41" t="s">
        <v>51</v>
      </c>
      <c r="K41" t="str">
        <f>IF(OR(E2&lt;65,F2&lt;50),"Warning","good")</f>
        <v>good</v>
      </c>
    </row>
    <row r="43" spans="1:11" x14ac:dyDescent="0.3">
      <c r="A43" t="s">
        <v>52</v>
      </c>
    </row>
    <row r="44" spans="1:11" x14ac:dyDescent="0.3">
      <c r="A44" t="s">
        <v>53</v>
      </c>
      <c r="K44" t="str">
        <f>IF(NOT(C2="IT"),"Departtment","ITDepartment")</f>
        <v>ITDepartment</v>
      </c>
    </row>
    <row r="45" spans="1:11" x14ac:dyDescent="0.3">
      <c r="A45" t="s">
        <v>54</v>
      </c>
      <c r="K45" t="b">
        <f>NOT(F2&lt;70)</f>
        <v>1</v>
      </c>
    </row>
    <row r="47" spans="1:11" x14ac:dyDescent="0.3">
      <c r="A47" t="s">
        <v>55</v>
      </c>
    </row>
    <row r="48" spans="1:11" x14ac:dyDescent="0.3">
      <c r="A48" t="s">
        <v>56</v>
      </c>
      <c r="K48" t="str">
        <f>IF(F2&gt;=90,"A",IF(F2&gt;=80,"B",IF(F2&gt;=70,"C",IF(F2&gt;=60,"D","F"))))</f>
        <v>B</v>
      </c>
    </row>
    <row r="49" spans="1:11" x14ac:dyDescent="0.3">
      <c r="A49" t="s">
        <v>57</v>
      </c>
      <c r="K49" t="str">
        <f>IF(D2&gt;=45000,"High",IF(D2&gt;=30000,"Medium","low"))</f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Balkam</dc:creator>
  <cp:lastModifiedBy>Bhavani Balkam</cp:lastModifiedBy>
  <dcterms:created xsi:type="dcterms:W3CDTF">2026-10-30T05:41:05Z</dcterms:created>
  <dcterms:modified xsi:type="dcterms:W3CDTF">2026-10-30T07:04:33Z</dcterms:modified>
</cp:coreProperties>
</file>